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dmi Gallardo\Desktop\"/>
    </mc:Choice>
  </mc:AlternateContent>
  <xr:revisionPtr revIDLastSave="0" documentId="8_{F3716EAE-E308-4CB8-86CD-13AB3B6F0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dora" sheetId="1" r:id="rId1"/>
    <sheet name="Ingredie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N7" i="1"/>
  <c r="M7" i="1" a="1"/>
  <c r="M7" i="1" s="1"/>
  <c r="E25" i="1"/>
  <c r="E26" i="1"/>
  <c r="E27" i="1"/>
  <c r="E28" i="1"/>
  <c r="F28" i="1" s="1"/>
  <c r="E29" i="1"/>
  <c r="E30" i="1"/>
  <c r="E31" i="1"/>
  <c r="F31" i="1" s="1"/>
  <c r="E32" i="1"/>
  <c r="F32" i="1" s="1"/>
  <c r="E11" i="1"/>
  <c r="E12" i="1"/>
  <c r="E13" i="1"/>
  <c r="F13" i="1" s="1"/>
  <c r="E14" i="1"/>
  <c r="F14" i="1" s="1"/>
  <c r="E15" i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E24" i="1"/>
  <c r="E9" i="1"/>
  <c r="E10" i="1"/>
  <c r="F10" i="1" s="1"/>
  <c r="F9" i="1"/>
  <c r="F30" i="1"/>
  <c r="F29" i="1"/>
  <c r="F27" i="1"/>
  <c r="F26" i="1"/>
  <c r="F25" i="1"/>
  <c r="F24" i="1"/>
  <c r="F23" i="1"/>
  <c r="F15" i="1"/>
  <c r="F12" i="1"/>
  <c r="F11" i="1"/>
  <c r="F33" i="1" l="1"/>
  <c r="K9" i="1" s="1"/>
  <c r="K10" i="1" s="1"/>
  <c r="K18" i="1" s="1"/>
  <c r="K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<sst xmlns="http://schemas.openxmlformats.org/spreadsheetml/2006/main" count="95" uniqueCount="60">
  <si>
    <t>Calculadora de Costos</t>
  </si>
  <si>
    <t>Receta:</t>
  </si>
  <si>
    <t>Selecciona los ingredientes que neceesitas.</t>
  </si>
  <si>
    <t>Esto NO lo modifiques, es el resultado de lo que cuesta cada ingrediente.</t>
  </si>
  <si>
    <t>⬇️</t>
  </si>
  <si>
    <t>Paso 1: Ingredientes</t>
  </si>
  <si>
    <t>Paso 2: Gastos y Ganancia</t>
  </si>
  <si>
    <t>Ingredientes</t>
  </si>
  <si>
    <t>Cantidad</t>
  </si>
  <si>
    <t>Unidades</t>
  </si>
  <si>
    <t>Costo (por unidad)</t>
  </si>
  <si>
    <t>Precio</t>
  </si>
  <si>
    <t>Concepto</t>
  </si>
  <si>
    <t>Ejemplos</t>
  </si>
  <si>
    <t>Aumento</t>
  </si>
  <si>
    <t>Gastos Fijos</t>
  </si>
  <si>
    <t>Agua, Luz, Gas</t>
  </si>
  <si>
    <t>Ganancia</t>
  </si>
  <si>
    <t>Por tu trabajo</t>
  </si>
  <si>
    <t>Paso 3: Unidades</t>
  </si>
  <si>
    <t>¿Cuántos vas a hacer?</t>
  </si>
  <si>
    <t>Unidades por receta</t>
  </si>
  <si>
    <t>⬅️</t>
  </si>
  <si>
    <t>¿Cuántos postres salen por receta?</t>
  </si>
  <si>
    <t>Unidades por paquete</t>
  </si>
  <si>
    <t>¿Cuantos postres llevan cada bolsa o paquete?</t>
  </si>
  <si>
    <t>Precio por paquete</t>
  </si>
  <si>
    <t>Paso 4: Empaque</t>
  </si>
  <si>
    <t>Finales</t>
  </si>
  <si>
    <t>Explicación</t>
  </si>
  <si>
    <t>Paquete</t>
  </si>
  <si>
    <t>Se obtiene del paso anterior</t>
  </si>
  <si>
    <t>Agrega los costos directos de cada paquete</t>
  </si>
  <si>
    <t>Puedes agregar más aquí abajo</t>
  </si>
  <si>
    <t>Costo de Receta</t>
  </si>
  <si>
    <t>Total Final</t>
  </si>
  <si>
    <t>⬆️</t>
  </si>
  <si>
    <t>Esto nos va a servir para continuar en el paso 2</t>
  </si>
  <si>
    <t>Este es tu precio final de venta</t>
  </si>
  <si>
    <t>Lista de Ingredientes</t>
  </si>
  <si>
    <t>Costo (por Kilo o Litro)</t>
  </si>
  <si>
    <t>Aceite</t>
  </si>
  <si>
    <t>Sal</t>
  </si>
  <si>
    <t>Chile morita</t>
  </si>
  <si>
    <t>Chile guajillo</t>
  </si>
  <si>
    <t>Chile pasilla</t>
  </si>
  <si>
    <t>Chile arbol</t>
  </si>
  <si>
    <t>Ajo</t>
  </si>
  <si>
    <t>Nuez de la india</t>
  </si>
  <si>
    <t>Pistache</t>
  </si>
  <si>
    <t>Arandano</t>
  </si>
  <si>
    <t>Nuez garapiñada</t>
  </si>
  <si>
    <t>Avellana</t>
  </si>
  <si>
    <t>Ajonjoli</t>
  </si>
  <si>
    <t>Vinagre blanco</t>
  </si>
  <si>
    <t>Gramos</t>
  </si>
  <si>
    <t>Litro</t>
  </si>
  <si>
    <t>Mililitros</t>
  </si>
  <si>
    <t>Frasco</t>
  </si>
  <si>
    <t>Etiqueta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</si>
</sst>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b/>
      <sz val="14"/>
      <color rgb="FF20124D"/>
      <name val="Arial"/>
      <scheme val="minor"/>
    </font>
    <font>
      <i/>
      <sz val="10"/>
      <color theme="1"/>
      <name val="Calibri"/>
    </font>
    <font>
      <sz val="10"/>
      <color theme="1"/>
      <name val="Courier New"/>
    </font>
    <font>
      <b/>
      <sz val="12"/>
      <color theme="1"/>
      <name val="Arial"/>
      <scheme val="minor"/>
    </font>
    <font>
      <b/>
      <sz val="12"/>
      <color rgb="FFFFFFFF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FFFFFF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</fills>
  <borders count="12">
    <border>
      <left/>
      <right/>
      <top/>
      <bottom/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/>
      <right/>
      <top style="thin">
        <color rgb="FF434343"/>
      </top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/>
      <top/>
      <bottom style="thin">
        <color rgb="FF434343"/>
      </bottom>
      <diagonal/>
    </border>
    <border>
      <left/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thin">
        <color rgb="FF434343"/>
      </left>
      <right style="thin">
        <color rgb="FF434343"/>
      </right>
      <top/>
      <bottom style="thin">
        <color rgb="FF434343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0" fontId="9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vertical="center"/>
    </xf>
    <xf numFmtId="3" fontId="9" fillId="2" borderId="4" xfId="0" applyNumberFormat="1" applyFont="1" applyFill="1" applyBorder="1" applyAlignment="1">
      <alignment horizontal="left" vertical="center"/>
    </xf>
    <xf numFmtId="164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9" fontId="1" fillId="2" borderId="4" xfId="0" applyNumberFormat="1" applyFont="1" applyFill="1" applyBorder="1" applyAlignment="1">
      <alignment vertical="center"/>
    </xf>
    <xf numFmtId="164" fontId="10" fillId="2" borderId="4" xfId="0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9" fillId="2" borderId="4" xfId="0" applyFont="1" applyFill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164" fontId="12" fillId="3" borderId="4" xfId="0" applyNumberFormat="1" applyFont="1" applyFill="1" applyBorder="1" applyAlignment="1">
      <alignment vertical="center"/>
    </xf>
    <xf numFmtId="164" fontId="9" fillId="4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3" fillId="2" borderId="4" xfId="0" applyFont="1" applyFill="1" applyBorder="1"/>
    <xf numFmtId="164" fontId="13" fillId="2" borderId="3" xfId="0" applyNumberFormat="1" applyFont="1" applyFill="1" applyBorder="1"/>
    <xf numFmtId="0" fontId="13" fillId="2" borderId="11" xfId="0" applyFont="1" applyFill="1" applyBorder="1"/>
    <xf numFmtId="164" fontId="13" fillId="2" borderId="10" xfId="0" applyNumberFormat="1" applyFont="1" applyFill="1" applyBorder="1"/>
    <xf numFmtId="3" fontId="6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8" fillId="0" borderId="3" xfId="0" applyFont="1" applyBorder="1"/>
    <xf numFmtId="0" fontId="12" fillId="3" borderId="1" xfId="0" applyFont="1" applyFill="1" applyBorder="1" applyAlignment="1">
      <alignment horizontal="right" vertical="center"/>
    </xf>
    <xf numFmtId="0" fontId="8" fillId="0" borderId="2" xfId="0" applyFont="1" applyBorder="1"/>
    <xf numFmtId="0" fontId="12" fillId="3" borderId="1" xfId="0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/>
    <xf numFmtId="0" fontId="1" fillId="2" borderId="1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10" fontId="9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885825" cy="285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6"/>
  <sheetViews>
    <sheetView tabSelected="1" topLeftCell="A7" workbookViewId="0">
      <selection activeCell="B11" sqref="B11"/>
    </sheetView>
  </sheetViews>
  <sheetFormatPr baseColWidth="10" defaultColWidth="12.6640625" defaultRowHeight="15.75" customHeight="1" x14ac:dyDescent="0.25"/>
  <cols>
    <col min="1" max="1" width="5.109375" customWidth="1"/>
    <col min="2" max="2" width="17.88671875" customWidth="1"/>
    <col min="3" max="3" width="11.21875" customWidth="1"/>
    <col min="4" max="4" width="15.88671875" customWidth="1"/>
    <col min="5" max="5" width="16.6640625" customWidth="1"/>
    <col min="6" max="6" width="12.6640625" customWidth="1"/>
    <col min="7" max="7" width="5.109375" customWidth="1"/>
    <col min="8" max="11" width="12.6640625" customWidth="1"/>
    <col min="12" max="12" width="3.88671875" customWidth="1"/>
    <col min="13" max="13" width="32.44140625" customWidth="1"/>
  </cols>
  <sheetData>
    <row r="1" spans="1:14" ht="21" x14ac:dyDescent="0.25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</row>
    <row r="2" spans="1:14" ht="22.5" customHeight="1" x14ac:dyDescent="0.25">
      <c r="A2" s="1"/>
      <c r="B2" s="45" t="s">
        <v>0</v>
      </c>
      <c r="C2" s="35"/>
      <c r="D2" s="35"/>
      <c r="E2" s="35"/>
      <c r="F2" s="35"/>
      <c r="G2" s="1"/>
      <c r="H2" s="46"/>
      <c r="I2" s="35"/>
      <c r="J2" s="35"/>
      <c r="K2" s="35"/>
      <c r="L2" s="1"/>
      <c r="M2" s="1"/>
    </row>
    <row r="3" spans="1:14" ht="22.5" customHeight="1" x14ac:dyDescent="0.25">
      <c r="B3" s="3" t="s">
        <v>1</v>
      </c>
      <c r="C3" s="45"/>
      <c r="D3" s="35"/>
      <c r="E3" s="35"/>
      <c r="F3" s="35"/>
      <c r="G3" s="4"/>
      <c r="H3" s="35"/>
      <c r="I3" s="35"/>
      <c r="J3" s="35"/>
      <c r="K3" s="35"/>
    </row>
    <row r="4" spans="1:14" ht="21" x14ac:dyDescent="0.25">
      <c r="A4" s="1"/>
      <c r="B4" s="2"/>
      <c r="C4" s="2"/>
      <c r="D4" s="2"/>
      <c r="E4" s="1"/>
      <c r="F4" s="1"/>
      <c r="G4" s="1"/>
      <c r="H4" s="1"/>
      <c r="I4" s="1"/>
      <c r="J4" s="1"/>
      <c r="K4" s="1"/>
      <c r="L4" s="1"/>
      <c r="M4" s="1"/>
    </row>
    <row r="5" spans="1:14" ht="13.8" x14ac:dyDescent="0.25">
      <c r="A5" s="1"/>
      <c r="B5" s="47" t="s">
        <v>2</v>
      </c>
      <c r="C5" s="35"/>
      <c r="D5" s="35"/>
      <c r="E5" s="47" t="s">
        <v>3</v>
      </c>
      <c r="F5" s="35"/>
      <c r="G5" s="35"/>
      <c r="H5" s="35"/>
      <c r="I5" s="35"/>
      <c r="J5" s="5"/>
      <c r="K5" s="1"/>
      <c r="L5" s="1"/>
      <c r="M5" s="1"/>
    </row>
    <row r="6" spans="1:14" ht="13.8" x14ac:dyDescent="0.25">
      <c r="A6" s="1"/>
      <c r="B6" s="6" t="s">
        <v>4</v>
      </c>
      <c r="C6" s="1"/>
      <c r="D6" s="1"/>
      <c r="E6" s="6" t="s">
        <v>4</v>
      </c>
      <c r="F6" s="6" t="s">
        <v>4</v>
      </c>
      <c r="G6" s="1"/>
      <c r="H6" s="1"/>
      <c r="I6" s="1"/>
      <c r="J6" s="1"/>
      <c r="K6" s="1"/>
      <c r="L6" s="1"/>
      <c r="M6" s="1"/>
    </row>
    <row r="7" spans="1:14" ht="33" customHeight="1" x14ac:dyDescent="0.25">
      <c r="A7" s="7"/>
      <c r="B7" s="44" t="s">
        <v>5</v>
      </c>
      <c r="C7" s="32"/>
      <c r="D7" s="32"/>
      <c r="E7" s="32"/>
      <c r="F7" s="30"/>
      <c r="G7" s="7"/>
      <c r="H7" s="44" t="s">
        <v>6</v>
      </c>
      <c r="I7" s="32"/>
      <c r="J7" s="32"/>
      <c r="K7" s="30"/>
      <c r="L7" s="7"/>
      <c r="M7" s="28" cm="1">
        <f t="array" ref="M7">SUM(C9:C18+C20)</f>
        <v>3040</v>
      </c>
      <c r="N7">
        <f>M7/30</f>
        <v>101.33333333333333</v>
      </c>
    </row>
    <row r="8" spans="1:14" ht="13.2" x14ac:dyDescent="0.25">
      <c r="A8" s="1"/>
      <c r="B8" s="8" t="s">
        <v>7</v>
      </c>
      <c r="C8" s="8" t="s">
        <v>8</v>
      </c>
      <c r="D8" s="9" t="s">
        <v>9</v>
      </c>
      <c r="E8" s="9" t="s">
        <v>10</v>
      </c>
      <c r="F8" s="8" t="s">
        <v>11</v>
      </c>
      <c r="G8" s="1"/>
      <c r="H8" s="8" t="s">
        <v>12</v>
      </c>
      <c r="I8" s="8" t="s">
        <v>13</v>
      </c>
      <c r="J8" s="8" t="s">
        <v>14</v>
      </c>
      <c r="K8" s="8" t="s">
        <v>11</v>
      </c>
      <c r="L8" s="1"/>
      <c r="M8" s="1"/>
    </row>
    <row r="9" spans="1:14" ht="13.2" x14ac:dyDescent="0.25">
      <c r="A9" s="1"/>
      <c r="B9" s="10" t="s">
        <v>43</v>
      </c>
      <c r="C9" s="11">
        <v>5</v>
      </c>
      <c r="D9" s="12" t="s">
        <v>55</v>
      </c>
      <c r="E9" s="13">
        <f>IFERROR(_xlfn.XLOOKUP(B9,Ingredientes!B:B,Ingredientes!C:C),"")</f>
        <v>200</v>
      </c>
      <c r="F9" s="13">
        <f t="shared" ref="F9:F32" si="0">IF(E9="","",(ROUNDUP(C9*E9/IF(OR(D9="Kilo",D9="Litro"),1,IF(OR(D9="Gramos",D9="Mililitros"),1000,1)),0)))</f>
        <v>1</v>
      </c>
      <c r="G9" s="1"/>
      <c r="H9" s="14" t="s">
        <v>15</v>
      </c>
      <c r="I9" s="14" t="s">
        <v>16</v>
      </c>
      <c r="J9" s="15">
        <v>0.2</v>
      </c>
      <c r="K9" s="16">
        <f>ROUNDUP(F33*(1+J9),0)</f>
        <v>627</v>
      </c>
      <c r="L9" s="1"/>
      <c r="M9" s="1"/>
    </row>
    <row r="10" spans="1:14" ht="13.2" x14ac:dyDescent="0.25">
      <c r="A10" s="1"/>
      <c r="B10" s="10" t="s">
        <v>44</v>
      </c>
      <c r="C10" s="11">
        <v>20</v>
      </c>
      <c r="D10" s="12" t="s">
        <v>55</v>
      </c>
      <c r="E10" s="13">
        <f>IFERROR(_xlfn.XLOOKUP(B10,Ingredientes!B:B,Ingredientes!C:C),"")</f>
        <v>280</v>
      </c>
      <c r="F10" s="13">
        <f t="shared" si="0"/>
        <v>6</v>
      </c>
      <c r="G10" s="1"/>
      <c r="H10" s="14" t="s">
        <v>17</v>
      </c>
      <c r="I10" s="14" t="s">
        <v>18</v>
      </c>
      <c r="J10" s="15">
        <v>0.7</v>
      </c>
      <c r="K10" s="13">
        <f>ROUNDUP(K9*(1+J10),0)</f>
        <v>1066</v>
      </c>
      <c r="L10" s="1"/>
      <c r="M10" s="1"/>
    </row>
    <row r="11" spans="1:14" ht="13.8" x14ac:dyDescent="0.25">
      <c r="A11" s="1"/>
      <c r="B11" s="10" t="s">
        <v>45</v>
      </c>
      <c r="C11" s="11">
        <v>25</v>
      </c>
      <c r="D11" s="17" t="s">
        <v>55</v>
      </c>
      <c r="E11" s="13">
        <f>IFERROR(_xlfn.XLOOKUP(B11,Ingredientes!B:B,Ingredientes!C:C),"")</f>
        <v>339</v>
      </c>
      <c r="F11" s="13">
        <f t="shared" si="0"/>
        <v>9</v>
      </c>
      <c r="G11" s="1"/>
      <c r="H11" s="1"/>
      <c r="I11" s="1"/>
      <c r="J11" s="18"/>
      <c r="K11" s="5"/>
      <c r="L11" s="1"/>
      <c r="M11" s="48"/>
    </row>
    <row r="12" spans="1:14" ht="13.8" x14ac:dyDescent="0.25">
      <c r="A12" s="1"/>
      <c r="B12" s="10" t="s">
        <v>46</v>
      </c>
      <c r="C12" s="11">
        <v>10</v>
      </c>
      <c r="D12" s="17" t="s">
        <v>55</v>
      </c>
      <c r="E12" s="13">
        <f>IFERROR(_xlfn.XLOOKUP(B12,Ingredientes!B:B,Ingredientes!C:C),"")</f>
        <v>108.5</v>
      </c>
      <c r="F12" s="13">
        <f t="shared" si="0"/>
        <v>2</v>
      </c>
      <c r="G12" s="1"/>
      <c r="H12" s="1"/>
      <c r="I12" s="1"/>
      <c r="J12" s="18"/>
      <c r="K12" s="6"/>
      <c r="L12" s="1"/>
      <c r="M12" s="5"/>
    </row>
    <row r="13" spans="1:14" ht="13.8" x14ac:dyDescent="0.25">
      <c r="A13" s="1"/>
      <c r="B13" s="10" t="s">
        <v>47</v>
      </c>
      <c r="C13" s="11">
        <v>160</v>
      </c>
      <c r="D13" s="19" t="s">
        <v>55</v>
      </c>
      <c r="E13" s="13">
        <f>IFERROR(_xlfn.XLOOKUP(B13,Ingredientes!B:B,Ingredientes!C:C),"")</f>
        <v>140</v>
      </c>
      <c r="F13" s="13">
        <f t="shared" si="0"/>
        <v>23</v>
      </c>
      <c r="G13" s="1"/>
      <c r="H13" s="37" t="s">
        <v>19</v>
      </c>
      <c r="I13" s="38"/>
      <c r="J13" s="38"/>
      <c r="K13" s="39"/>
      <c r="L13" s="1"/>
      <c r="M13" s="5"/>
    </row>
    <row r="14" spans="1:14" ht="13.8" x14ac:dyDescent="0.25">
      <c r="A14" s="1"/>
      <c r="B14" s="10" t="s">
        <v>48</v>
      </c>
      <c r="C14" s="11">
        <v>180</v>
      </c>
      <c r="D14" s="19" t="s">
        <v>55</v>
      </c>
      <c r="E14" s="13">
        <f>IFERROR(_xlfn.XLOOKUP(B14,Ingredientes!B:B,Ingredientes!C:C),"")</f>
        <v>339</v>
      </c>
      <c r="F14" s="13">
        <f t="shared" si="0"/>
        <v>62</v>
      </c>
      <c r="G14" s="1"/>
      <c r="H14" s="40"/>
      <c r="I14" s="41"/>
      <c r="J14" s="41"/>
      <c r="K14" s="42"/>
      <c r="L14" s="1"/>
      <c r="M14" s="5"/>
    </row>
    <row r="15" spans="1:14" ht="13.8" x14ac:dyDescent="0.25">
      <c r="A15" s="1"/>
      <c r="B15" s="10" t="s">
        <v>49</v>
      </c>
      <c r="C15" s="11">
        <v>180</v>
      </c>
      <c r="D15" s="19" t="s">
        <v>55</v>
      </c>
      <c r="E15" s="13">
        <f>IFERROR(_xlfn.XLOOKUP(B15,Ingredientes!B:B,Ingredientes!C:C),"")</f>
        <v>799</v>
      </c>
      <c r="F15" s="13">
        <f t="shared" si="0"/>
        <v>144</v>
      </c>
      <c r="G15" s="1"/>
      <c r="H15" s="43" t="s">
        <v>20</v>
      </c>
      <c r="I15" s="32"/>
      <c r="J15" s="30"/>
      <c r="K15" s="8" t="s">
        <v>11</v>
      </c>
      <c r="L15" s="1"/>
      <c r="M15" s="5"/>
    </row>
    <row r="16" spans="1:14" ht="13.8" x14ac:dyDescent="0.25">
      <c r="A16" s="1"/>
      <c r="B16" s="10" t="s">
        <v>50</v>
      </c>
      <c r="C16" s="11">
        <v>185</v>
      </c>
      <c r="D16" s="19" t="s">
        <v>55</v>
      </c>
      <c r="E16" s="13">
        <f>IFERROR(_xlfn.XLOOKUP(B16,Ingredientes!B:B,Ingredientes!C:C),"")</f>
        <v>133</v>
      </c>
      <c r="F16" s="13">
        <f t="shared" si="0"/>
        <v>25</v>
      </c>
      <c r="G16" s="1"/>
      <c r="H16" s="36" t="s">
        <v>21</v>
      </c>
      <c r="I16" s="32"/>
      <c r="J16" s="30"/>
      <c r="K16" s="11">
        <v>15</v>
      </c>
      <c r="L16" s="1" t="s">
        <v>22</v>
      </c>
      <c r="M16" s="5" t="s">
        <v>23</v>
      </c>
    </row>
    <row r="17" spans="1:13" ht="27.6" x14ac:dyDescent="0.25">
      <c r="A17" s="1"/>
      <c r="B17" s="10" t="s">
        <v>51</v>
      </c>
      <c r="C17" s="11">
        <v>115</v>
      </c>
      <c r="D17" s="19" t="s">
        <v>55</v>
      </c>
      <c r="E17" s="13">
        <f>IFERROR(_xlfn.XLOOKUP(B17,Ingredientes!B:B,Ingredientes!C:C),"")</f>
        <v>450</v>
      </c>
      <c r="F17" s="13">
        <f t="shared" si="0"/>
        <v>52</v>
      </c>
      <c r="G17" s="1"/>
      <c r="H17" s="36" t="s">
        <v>24</v>
      </c>
      <c r="I17" s="32"/>
      <c r="J17" s="30"/>
      <c r="K17" s="11">
        <v>1</v>
      </c>
      <c r="L17" s="1" t="s">
        <v>22</v>
      </c>
      <c r="M17" s="20" t="s">
        <v>25</v>
      </c>
    </row>
    <row r="18" spans="1:13" ht="13.8" x14ac:dyDescent="0.25">
      <c r="A18" s="1"/>
      <c r="B18" s="10" t="s">
        <v>52</v>
      </c>
      <c r="C18" s="11">
        <v>160</v>
      </c>
      <c r="D18" s="19" t="s">
        <v>55</v>
      </c>
      <c r="E18" s="13">
        <f>IFERROR(_xlfn.XLOOKUP(B18,Ingredientes!B:B,Ingredientes!C:C),"")</f>
        <v>600</v>
      </c>
      <c r="F18" s="13">
        <f t="shared" si="0"/>
        <v>96</v>
      </c>
      <c r="G18" s="1"/>
      <c r="H18" s="33" t="s">
        <v>26</v>
      </c>
      <c r="I18" s="32"/>
      <c r="J18" s="30"/>
      <c r="K18" s="21">
        <f>ROUNDUP($K$10/K16*K17,0)</f>
        <v>72</v>
      </c>
      <c r="L18" s="1"/>
      <c r="M18" s="20"/>
    </row>
    <row r="19" spans="1:13" ht="13.8" x14ac:dyDescent="0.25">
      <c r="A19" s="1"/>
      <c r="B19" s="10" t="s">
        <v>41</v>
      </c>
      <c r="C19" s="11">
        <v>2</v>
      </c>
      <c r="D19" s="19" t="s">
        <v>56</v>
      </c>
      <c r="E19" s="13">
        <f>IFERROR(_xlfn.XLOOKUP(B19,Ingredientes!B:B,Ingredientes!C:C),"")</f>
        <v>37</v>
      </c>
      <c r="F19" s="13">
        <f t="shared" si="0"/>
        <v>74</v>
      </c>
      <c r="G19" s="1"/>
      <c r="H19" s="1"/>
      <c r="I19" s="1"/>
      <c r="J19" s="1"/>
      <c r="K19" s="1"/>
      <c r="L19" s="1"/>
      <c r="M19" s="5"/>
    </row>
    <row r="20" spans="1:13" ht="13.8" x14ac:dyDescent="0.25">
      <c r="A20" s="1"/>
      <c r="B20" s="10" t="s">
        <v>53</v>
      </c>
      <c r="C20" s="11">
        <v>200</v>
      </c>
      <c r="D20" s="19" t="s">
        <v>55</v>
      </c>
      <c r="E20" s="13">
        <f>IFERROR(_xlfn.XLOOKUP(B20,Ingredientes!B:B,Ingredientes!C:C),"")</f>
        <v>130</v>
      </c>
      <c r="F20" s="13">
        <f t="shared" si="0"/>
        <v>26</v>
      </c>
      <c r="G20" s="1"/>
      <c r="H20" s="1"/>
      <c r="I20" s="1"/>
      <c r="J20" s="1"/>
      <c r="K20" s="1"/>
      <c r="L20" s="1"/>
      <c r="M20" s="5"/>
    </row>
    <row r="21" spans="1:13" ht="13.8" x14ac:dyDescent="0.25">
      <c r="A21" s="1"/>
      <c r="B21" s="10" t="s">
        <v>54</v>
      </c>
      <c r="C21" s="11">
        <v>50</v>
      </c>
      <c r="D21" s="19" t="s">
        <v>57</v>
      </c>
      <c r="E21" s="13">
        <f>IFERROR(_xlfn.XLOOKUP(B21,Ingredientes!B:B,Ingredientes!C:C),"")</f>
        <v>18</v>
      </c>
      <c r="F21" s="13">
        <f t="shared" si="0"/>
        <v>1</v>
      </c>
      <c r="G21" s="1"/>
      <c r="H21" s="37" t="s">
        <v>27</v>
      </c>
      <c r="I21" s="38"/>
      <c r="J21" s="38"/>
      <c r="K21" s="39"/>
      <c r="L21" s="1"/>
      <c r="M21" s="5"/>
    </row>
    <row r="22" spans="1:13" ht="13.8" x14ac:dyDescent="0.25">
      <c r="A22" s="1"/>
      <c r="B22" s="10" t="s">
        <v>42</v>
      </c>
      <c r="C22" s="11">
        <v>7</v>
      </c>
      <c r="D22" s="19" t="s">
        <v>55</v>
      </c>
      <c r="E22" s="13">
        <f>IFERROR(_xlfn.XLOOKUP(B22,Ingredientes!B:B,Ingredientes!C:C),"")</f>
        <v>75</v>
      </c>
      <c r="F22" s="13">
        <f t="shared" si="0"/>
        <v>1</v>
      </c>
      <c r="G22" s="1"/>
      <c r="H22" s="40"/>
      <c r="I22" s="41"/>
      <c r="J22" s="41"/>
      <c r="K22" s="42"/>
      <c r="L22" s="1"/>
      <c r="M22" s="5"/>
    </row>
    <row r="23" spans="1:13" ht="13.8" x14ac:dyDescent="0.25">
      <c r="A23" s="1"/>
      <c r="B23" s="10"/>
      <c r="C23" s="11"/>
      <c r="D23" s="19"/>
      <c r="E23" s="13">
        <f>IFERROR(_xlfn.XLOOKUP(B23,Ingredientes!B:B,Ingredientes!C:C),"")</f>
        <v>0</v>
      </c>
      <c r="F23" s="13">
        <f t="shared" si="0"/>
        <v>0</v>
      </c>
      <c r="G23" s="1"/>
      <c r="H23" s="8" t="s">
        <v>28</v>
      </c>
      <c r="I23" s="43" t="s">
        <v>29</v>
      </c>
      <c r="J23" s="30"/>
      <c r="K23" s="22" t="s">
        <v>11</v>
      </c>
      <c r="L23" s="1"/>
      <c r="M23" s="5"/>
    </row>
    <row r="24" spans="1:13" ht="13.8" x14ac:dyDescent="0.25">
      <c r="A24" s="1"/>
      <c r="B24" s="10"/>
      <c r="C24" s="11"/>
      <c r="D24" s="19"/>
      <c r="E24" s="13">
        <f>IFERROR(_xlfn.XLOOKUP(B24,Ingredientes!B:B,Ingredientes!C:C),"")</f>
        <v>0</v>
      </c>
      <c r="F24" s="13">
        <f t="shared" si="0"/>
        <v>0</v>
      </c>
      <c r="G24" s="1"/>
      <c r="H24" s="14" t="s">
        <v>30</v>
      </c>
      <c r="I24" s="29" t="s">
        <v>31</v>
      </c>
      <c r="J24" s="30"/>
      <c r="K24" s="13">
        <f>$K$18</f>
        <v>72</v>
      </c>
      <c r="L24" s="1"/>
      <c r="M24" s="5"/>
    </row>
    <row r="25" spans="1:13" ht="13.8" x14ac:dyDescent="0.25">
      <c r="A25" s="1"/>
      <c r="B25" s="10"/>
      <c r="C25" s="11"/>
      <c r="D25" s="19"/>
      <c r="E25" s="13">
        <f>IFERROR(_xlfn.XLOOKUP(B25,Ingredientes!B:B,Ingredientes!C:C),"")</f>
        <v>0</v>
      </c>
      <c r="F25" s="13">
        <f t="shared" si="0"/>
        <v>0</v>
      </c>
      <c r="G25" s="1"/>
      <c r="H25" s="14" t="s">
        <v>58</v>
      </c>
      <c r="I25" s="29"/>
      <c r="J25" s="30"/>
      <c r="K25" s="13">
        <v>33</v>
      </c>
      <c r="L25" s="1" t="s">
        <v>22</v>
      </c>
      <c r="M25" s="5" t="s">
        <v>32</v>
      </c>
    </row>
    <row r="26" spans="1:13" ht="13.8" x14ac:dyDescent="0.25">
      <c r="A26" s="1"/>
      <c r="B26" s="10"/>
      <c r="C26" s="11"/>
      <c r="D26" s="19"/>
      <c r="E26" s="13">
        <f>IFERROR(_xlfn.XLOOKUP(B26,Ingredientes!B:B,Ingredientes!C:C),"")</f>
        <v>0</v>
      </c>
      <c r="F26" s="13">
        <f t="shared" si="0"/>
        <v>0</v>
      </c>
      <c r="G26" s="1"/>
      <c r="H26" s="14" t="s">
        <v>59</v>
      </c>
      <c r="I26" s="29"/>
      <c r="J26" s="30"/>
      <c r="K26" s="13">
        <v>15</v>
      </c>
      <c r="L26" s="1"/>
      <c r="M26" s="5"/>
    </row>
    <row r="27" spans="1:13" ht="13.8" x14ac:dyDescent="0.25">
      <c r="A27" s="1"/>
      <c r="B27" s="10"/>
      <c r="C27" s="11"/>
      <c r="D27" s="19"/>
      <c r="E27" s="13">
        <f>IFERROR(_xlfn.XLOOKUP(B27,Ingredientes!B:B,Ingredientes!C:C),"")</f>
        <v>0</v>
      </c>
      <c r="F27" s="13">
        <f t="shared" si="0"/>
        <v>0</v>
      </c>
      <c r="G27" s="1"/>
      <c r="H27" s="14"/>
      <c r="I27" s="29"/>
      <c r="J27" s="30"/>
      <c r="K27" s="13"/>
      <c r="L27" s="1"/>
      <c r="M27" s="5"/>
    </row>
    <row r="28" spans="1:13" ht="13.8" x14ac:dyDescent="0.25">
      <c r="A28" s="1"/>
      <c r="B28" s="10"/>
      <c r="C28" s="11"/>
      <c r="D28" s="19"/>
      <c r="E28" s="13">
        <f>IFERROR(_xlfn.XLOOKUP(B28,Ingredientes!B:B,Ingredientes!C:C),"")</f>
        <v>0</v>
      </c>
      <c r="F28" s="13">
        <f t="shared" si="0"/>
        <v>0</v>
      </c>
      <c r="G28" s="1"/>
      <c r="H28" s="14"/>
      <c r="I28" s="29"/>
      <c r="J28" s="30"/>
      <c r="K28" s="13"/>
      <c r="L28" s="1" t="s">
        <v>22</v>
      </c>
      <c r="M28" s="5" t="s">
        <v>33</v>
      </c>
    </row>
    <row r="29" spans="1:13" ht="13.8" x14ac:dyDescent="0.25">
      <c r="A29" s="1"/>
      <c r="B29" s="10"/>
      <c r="C29" s="11"/>
      <c r="D29" s="19"/>
      <c r="E29" s="13">
        <f>IFERROR(_xlfn.XLOOKUP(B29,Ingredientes!B:B,Ingredientes!C:C),"")</f>
        <v>0</v>
      </c>
      <c r="F29" s="13">
        <f t="shared" si="0"/>
        <v>0</v>
      </c>
      <c r="G29" s="1"/>
      <c r="H29" s="14"/>
      <c r="I29" s="29"/>
      <c r="J29" s="30"/>
      <c r="K29" s="13"/>
      <c r="L29" s="1"/>
      <c r="M29" s="1"/>
    </row>
    <row r="30" spans="1:13" ht="13.8" x14ac:dyDescent="0.25">
      <c r="A30" s="1"/>
      <c r="B30" s="10"/>
      <c r="C30" s="11"/>
      <c r="D30" s="19"/>
      <c r="E30" s="13">
        <f>IFERROR(_xlfn.XLOOKUP(B30,Ingredientes!B:B,Ingredientes!C:C),"")</f>
        <v>0</v>
      </c>
      <c r="F30" s="13">
        <f t="shared" si="0"/>
        <v>0</v>
      </c>
      <c r="G30" s="1"/>
      <c r="H30" s="14"/>
      <c r="I30" s="29"/>
      <c r="J30" s="30"/>
      <c r="K30" s="13"/>
      <c r="L30" s="1"/>
      <c r="M30" s="1"/>
    </row>
    <row r="31" spans="1:13" ht="13.8" x14ac:dyDescent="0.25">
      <c r="A31" s="1"/>
      <c r="B31" s="10"/>
      <c r="C31" s="11"/>
      <c r="D31" s="19"/>
      <c r="E31" s="13">
        <f>IFERROR(_xlfn.XLOOKUP(B31,Ingredientes!B:B,Ingredientes!C:C),"")</f>
        <v>0</v>
      </c>
      <c r="F31" s="13">
        <f t="shared" si="0"/>
        <v>0</v>
      </c>
      <c r="G31" s="1"/>
      <c r="H31" s="14"/>
      <c r="I31" s="29"/>
      <c r="J31" s="30"/>
      <c r="K31" s="13"/>
      <c r="L31" s="1"/>
      <c r="M31" s="1"/>
    </row>
    <row r="32" spans="1:13" ht="13.8" x14ac:dyDescent="0.25">
      <c r="A32" s="1"/>
      <c r="B32" s="10"/>
      <c r="C32" s="11"/>
      <c r="D32" s="19"/>
      <c r="E32" s="13">
        <f>IFERROR(_xlfn.XLOOKUP(B32,Ingredientes!B:B,Ingredientes!C:C),"")</f>
        <v>0</v>
      </c>
      <c r="F32" s="13">
        <f t="shared" si="0"/>
        <v>0</v>
      </c>
      <c r="G32" s="1"/>
      <c r="H32" s="14"/>
      <c r="I32" s="29"/>
      <c r="J32" s="30"/>
      <c r="K32" s="13"/>
      <c r="L32" s="1"/>
      <c r="M32" s="1"/>
    </row>
    <row r="33" spans="1:13" ht="13.2" x14ac:dyDescent="0.25">
      <c r="A33" s="1"/>
      <c r="B33" s="31" t="s">
        <v>34</v>
      </c>
      <c r="C33" s="32"/>
      <c r="D33" s="32"/>
      <c r="E33" s="30"/>
      <c r="F33" s="21">
        <f>SUM(F9:F32)</f>
        <v>522</v>
      </c>
      <c r="G33" s="1"/>
      <c r="H33" s="33" t="s">
        <v>35</v>
      </c>
      <c r="I33" s="32"/>
      <c r="J33" s="30"/>
      <c r="K33" s="21">
        <f>ROUNDUP(SUM(K24:K32),0)</f>
        <v>120</v>
      </c>
      <c r="L33" s="1"/>
      <c r="M33" s="1"/>
    </row>
    <row r="34" spans="1:13" ht="13.2" x14ac:dyDescent="0.25">
      <c r="A34" s="1"/>
      <c r="B34" s="1"/>
      <c r="C34" s="1"/>
      <c r="D34" s="1"/>
      <c r="E34" s="1"/>
      <c r="F34" s="18" t="s">
        <v>36</v>
      </c>
      <c r="G34" s="18"/>
      <c r="H34" s="1"/>
      <c r="I34" s="1"/>
      <c r="J34" s="1"/>
      <c r="K34" s="18" t="s">
        <v>36</v>
      </c>
      <c r="L34" s="1"/>
      <c r="M34" s="1"/>
    </row>
    <row r="35" spans="1:13" ht="13.8" x14ac:dyDescent="0.25">
      <c r="A35" s="1"/>
      <c r="B35" s="1"/>
      <c r="C35" s="1"/>
      <c r="D35" s="34" t="s">
        <v>37</v>
      </c>
      <c r="E35" s="35"/>
      <c r="F35" s="35"/>
      <c r="G35" s="23"/>
      <c r="H35" s="1"/>
      <c r="I35" s="1"/>
      <c r="J35" s="34" t="s">
        <v>38</v>
      </c>
      <c r="K35" s="35"/>
      <c r="L35" s="1"/>
      <c r="M35" s="1"/>
    </row>
    <row r="36" spans="1:13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</sheetData>
  <mergeCells count="27">
    <mergeCell ref="B2:F2"/>
    <mergeCell ref="H2:K3"/>
    <mergeCell ref="C3:F3"/>
    <mergeCell ref="B5:D5"/>
    <mergeCell ref="E5:I5"/>
    <mergeCell ref="B7:F7"/>
    <mergeCell ref="H7:K7"/>
    <mergeCell ref="H13:K14"/>
    <mergeCell ref="H15:J15"/>
    <mergeCell ref="H16:J16"/>
    <mergeCell ref="H17:J17"/>
    <mergeCell ref="H18:J18"/>
    <mergeCell ref="H21:K22"/>
    <mergeCell ref="I23:J23"/>
    <mergeCell ref="I31:J31"/>
    <mergeCell ref="I24:J24"/>
    <mergeCell ref="I25:J25"/>
    <mergeCell ref="I26:J26"/>
    <mergeCell ref="I27:J27"/>
    <mergeCell ref="I28:J28"/>
    <mergeCell ref="I29:J29"/>
    <mergeCell ref="I30:J30"/>
    <mergeCell ref="I32:J32"/>
    <mergeCell ref="B33:E33"/>
    <mergeCell ref="H33:J33"/>
    <mergeCell ref="D35:F35"/>
    <mergeCell ref="J35:K35"/>
  </mergeCells>
  <dataValidations count="1">
    <dataValidation type="list" allowBlank="1" showErrorMessage="1" sqref="D9:D32" xr:uid="{00000000-0002-0000-0000-000001000000}">
      <formula1>"Kilo,Gramos,Litro,Mililitros"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Ingredientes!$B$4:$B$204</xm:f>
          </x14:formula1>
          <xm:sqref>B9:B32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06"/>
  <sheetViews>
    <sheetView workbookViewId="0">
      <selection activeCell="B4" sqref="B4:C17"/>
    </sheetView>
  </sheetViews>
  <sheetFormatPr baseColWidth="10" defaultColWidth="12.6640625" defaultRowHeight="15.75" customHeight="1" x14ac:dyDescent="0.25"/>
  <cols>
    <col min="1" max="1" width="5.109375" customWidth="1"/>
    <col min="2" max="2" width="24.77734375" customWidth="1"/>
    <col min="3" max="3" width="24.33203125" customWidth="1"/>
    <col min="4" max="4" width="5.109375" customWidth="1"/>
  </cols>
  <sheetData>
    <row r="1" spans="1:4" ht="21" x14ac:dyDescent="0.25">
      <c r="A1" s="1"/>
      <c r="B1" s="2"/>
      <c r="C1" s="1"/>
      <c r="D1" s="1"/>
    </row>
    <row r="2" spans="1:4" ht="33" customHeight="1" x14ac:dyDescent="0.25">
      <c r="A2" s="7"/>
      <c r="B2" s="44" t="s">
        <v>39</v>
      </c>
      <c r="C2" s="30"/>
      <c r="D2" s="7"/>
    </row>
    <row r="3" spans="1:4" ht="13.2" x14ac:dyDescent="0.25">
      <c r="A3" s="1"/>
      <c r="B3" s="8" t="s">
        <v>7</v>
      </c>
      <c r="C3" s="9" t="s">
        <v>40</v>
      </c>
      <c r="D3" s="1"/>
    </row>
    <row r="4" spans="1:4" ht="13.2" x14ac:dyDescent="0.25">
      <c r="A4" s="1"/>
      <c r="B4" s="14" t="s">
        <v>43</v>
      </c>
      <c r="C4" s="13">
        <v>200</v>
      </c>
      <c r="D4" s="1"/>
    </row>
    <row r="5" spans="1:4" ht="13.2" x14ac:dyDescent="0.25">
      <c r="A5" s="1"/>
      <c r="B5" s="14" t="s">
        <v>44</v>
      </c>
      <c r="C5" s="13">
        <v>280</v>
      </c>
      <c r="D5" s="1"/>
    </row>
    <row r="6" spans="1:4" ht="13.2" x14ac:dyDescent="0.25">
      <c r="A6" s="1"/>
      <c r="B6" s="14" t="s">
        <v>45</v>
      </c>
      <c r="C6" s="13">
        <v>339</v>
      </c>
      <c r="D6" s="1"/>
    </row>
    <row r="7" spans="1:4" ht="13.2" x14ac:dyDescent="0.25">
      <c r="A7" s="1"/>
      <c r="B7" s="14" t="s">
        <v>46</v>
      </c>
      <c r="C7" s="13">
        <v>108.5</v>
      </c>
      <c r="D7" s="1"/>
    </row>
    <row r="8" spans="1:4" ht="13.2" x14ac:dyDescent="0.25">
      <c r="A8" s="1"/>
      <c r="B8" s="14" t="s">
        <v>47</v>
      </c>
      <c r="C8" s="13">
        <v>140</v>
      </c>
      <c r="D8" s="1"/>
    </row>
    <row r="9" spans="1:4" ht="13.2" x14ac:dyDescent="0.25">
      <c r="A9" s="1"/>
      <c r="B9" s="14" t="s">
        <v>48</v>
      </c>
      <c r="C9" s="13">
        <v>339</v>
      </c>
      <c r="D9" s="1"/>
    </row>
    <row r="10" spans="1:4" ht="13.2" x14ac:dyDescent="0.25">
      <c r="A10" s="1"/>
      <c r="B10" s="14" t="s">
        <v>49</v>
      </c>
      <c r="C10" s="13">
        <v>799</v>
      </c>
      <c r="D10" s="1"/>
    </row>
    <row r="11" spans="1:4" ht="13.2" x14ac:dyDescent="0.25">
      <c r="A11" s="1"/>
      <c r="B11" s="14" t="s">
        <v>50</v>
      </c>
      <c r="C11" s="13">
        <v>133</v>
      </c>
      <c r="D11" s="1"/>
    </row>
    <row r="12" spans="1:4" ht="13.2" x14ac:dyDescent="0.25">
      <c r="A12" s="1"/>
      <c r="B12" s="14" t="s">
        <v>51</v>
      </c>
      <c r="C12" s="13">
        <v>450</v>
      </c>
      <c r="D12" s="1"/>
    </row>
    <row r="13" spans="1:4" ht="13.2" x14ac:dyDescent="0.25">
      <c r="A13" s="1"/>
      <c r="B13" s="14" t="s">
        <v>52</v>
      </c>
      <c r="C13" s="13">
        <v>600</v>
      </c>
      <c r="D13" s="1"/>
    </row>
    <row r="14" spans="1:4" ht="13.2" x14ac:dyDescent="0.25">
      <c r="A14" s="1"/>
      <c r="B14" s="14" t="s">
        <v>41</v>
      </c>
      <c r="C14" s="13">
        <v>37</v>
      </c>
      <c r="D14" s="1"/>
    </row>
    <row r="15" spans="1:4" ht="13.2" x14ac:dyDescent="0.25">
      <c r="A15" s="1"/>
      <c r="B15" s="14" t="s">
        <v>53</v>
      </c>
      <c r="C15" s="13">
        <v>130</v>
      </c>
      <c r="D15" s="1"/>
    </row>
    <row r="16" spans="1:4" ht="13.2" x14ac:dyDescent="0.25">
      <c r="A16" s="1"/>
      <c r="B16" s="24" t="s">
        <v>54</v>
      </c>
      <c r="C16" s="25">
        <v>18</v>
      </c>
      <c r="D16" s="1"/>
    </row>
    <row r="17" spans="1:4" ht="13.2" x14ac:dyDescent="0.25">
      <c r="A17" s="1"/>
      <c r="B17" s="26" t="s">
        <v>42</v>
      </c>
      <c r="C17" s="27">
        <v>75</v>
      </c>
      <c r="D17" s="1"/>
    </row>
    <row r="18" spans="1:4" ht="13.2" x14ac:dyDescent="0.25">
      <c r="A18" s="1"/>
      <c r="B18" s="26"/>
      <c r="C18" s="27"/>
      <c r="D18" s="1"/>
    </row>
    <row r="19" spans="1:4" ht="13.2" x14ac:dyDescent="0.25">
      <c r="A19" s="1"/>
      <c r="B19" s="26"/>
      <c r="C19" s="27"/>
      <c r="D19" s="1"/>
    </row>
    <row r="20" spans="1:4" ht="13.2" x14ac:dyDescent="0.25">
      <c r="A20" s="1"/>
      <c r="B20" s="26"/>
      <c r="C20" s="27"/>
      <c r="D20" s="1"/>
    </row>
    <row r="21" spans="1:4" ht="13.2" x14ac:dyDescent="0.25">
      <c r="A21" s="1"/>
      <c r="B21" s="26"/>
      <c r="C21" s="27"/>
      <c r="D21" s="1"/>
    </row>
    <row r="22" spans="1:4" ht="13.2" x14ac:dyDescent="0.25">
      <c r="A22" s="1"/>
      <c r="B22" s="26"/>
      <c r="C22" s="27"/>
      <c r="D22" s="1"/>
    </row>
    <row r="23" spans="1:4" ht="13.2" x14ac:dyDescent="0.25">
      <c r="A23" s="1"/>
      <c r="B23" s="24"/>
      <c r="C23" s="25"/>
      <c r="D23" s="1"/>
    </row>
    <row r="24" spans="1:4" ht="13.2" x14ac:dyDescent="0.25">
      <c r="A24" s="1"/>
      <c r="B24" s="26"/>
      <c r="C24" s="27"/>
      <c r="D24" s="1"/>
    </row>
    <row r="25" spans="1:4" ht="13.2" x14ac:dyDescent="0.25">
      <c r="A25" s="1"/>
      <c r="B25" s="26"/>
      <c r="C25" s="27"/>
      <c r="D25" s="1"/>
    </row>
    <row r="26" spans="1:4" ht="13.2" x14ac:dyDescent="0.25">
      <c r="A26" s="1"/>
      <c r="B26" s="26"/>
      <c r="C26" s="27"/>
      <c r="D26" s="1"/>
    </row>
    <row r="27" spans="1:4" ht="13.2" x14ac:dyDescent="0.25">
      <c r="A27" s="1"/>
      <c r="B27" s="26"/>
      <c r="C27" s="27"/>
      <c r="D27" s="1"/>
    </row>
    <row r="28" spans="1:4" ht="13.2" x14ac:dyDescent="0.25">
      <c r="A28" s="1"/>
      <c r="B28" s="26"/>
      <c r="C28" s="27"/>
      <c r="D28" s="1"/>
    </row>
    <row r="29" spans="1:4" ht="13.2" x14ac:dyDescent="0.25">
      <c r="A29" s="1"/>
      <c r="B29" s="24"/>
      <c r="C29" s="25"/>
      <c r="D29" s="1"/>
    </row>
    <row r="30" spans="1:4" ht="13.2" x14ac:dyDescent="0.25">
      <c r="A30" s="1"/>
      <c r="B30" s="26"/>
      <c r="C30" s="27"/>
      <c r="D30" s="1"/>
    </row>
    <row r="31" spans="1:4" ht="13.2" x14ac:dyDescent="0.25">
      <c r="A31" s="1"/>
      <c r="B31" s="26"/>
      <c r="C31" s="27"/>
      <c r="D31" s="1"/>
    </row>
    <row r="32" spans="1:4" ht="13.2" x14ac:dyDescent="0.25">
      <c r="A32" s="1"/>
      <c r="B32" s="26"/>
      <c r="C32" s="27"/>
      <c r="D32" s="1"/>
    </row>
    <row r="33" spans="1:4" ht="13.2" x14ac:dyDescent="0.25">
      <c r="A33" s="1"/>
      <c r="B33" s="26"/>
      <c r="C33" s="27"/>
      <c r="D33" s="1"/>
    </row>
    <row r="34" spans="1:4" ht="13.2" x14ac:dyDescent="0.25">
      <c r="A34" s="1"/>
      <c r="B34" s="26"/>
      <c r="C34" s="27"/>
      <c r="D34" s="1"/>
    </row>
    <row r="35" spans="1:4" ht="13.2" x14ac:dyDescent="0.25">
      <c r="A35" s="1"/>
      <c r="B35" s="26"/>
      <c r="C35" s="27"/>
      <c r="D35" s="1"/>
    </row>
    <row r="36" spans="1:4" ht="13.2" x14ac:dyDescent="0.25">
      <c r="A36" s="1"/>
      <c r="B36" s="26"/>
      <c r="C36" s="27"/>
      <c r="D36" s="1"/>
    </row>
    <row r="37" spans="1:4" ht="13.2" x14ac:dyDescent="0.25">
      <c r="A37" s="1"/>
      <c r="B37" s="26"/>
      <c r="C37" s="27"/>
      <c r="D37" s="1"/>
    </row>
    <row r="38" spans="1:4" ht="13.2" x14ac:dyDescent="0.25">
      <c r="A38" s="1"/>
      <c r="B38" s="26"/>
      <c r="C38" s="27"/>
      <c r="D38" s="1"/>
    </row>
    <row r="39" spans="1:4" ht="13.2" x14ac:dyDescent="0.25">
      <c r="A39" s="1"/>
      <c r="B39" s="26"/>
      <c r="C39" s="27"/>
      <c r="D39" s="1"/>
    </row>
    <row r="40" spans="1:4" ht="13.2" x14ac:dyDescent="0.25">
      <c r="A40" s="1"/>
      <c r="B40" s="26"/>
      <c r="C40" s="27"/>
      <c r="D40" s="1"/>
    </row>
    <row r="41" spans="1:4" ht="13.2" x14ac:dyDescent="0.25">
      <c r="A41" s="1"/>
      <c r="B41" s="26"/>
      <c r="C41" s="27"/>
      <c r="D41" s="1"/>
    </row>
    <row r="42" spans="1:4" ht="13.2" x14ac:dyDescent="0.25">
      <c r="A42" s="1"/>
      <c r="B42" s="26"/>
      <c r="C42" s="27"/>
      <c r="D42" s="1"/>
    </row>
    <row r="43" spans="1:4" ht="13.2" x14ac:dyDescent="0.25">
      <c r="A43" s="1"/>
      <c r="B43" s="26"/>
      <c r="C43" s="27"/>
      <c r="D43" s="1"/>
    </row>
    <row r="44" spans="1:4" ht="13.2" x14ac:dyDescent="0.25">
      <c r="A44" s="1"/>
      <c r="B44" s="26"/>
      <c r="C44" s="27"/>
      <c r="D44" s="1"/>
    </row>
    <row r="45" spans="1:4" ht="13.2" x14ac:dyDescent="0.25">
      <c r="A45" s="1"/>
      <c r="B45" s="26"/>
      <c r="C45" s="27"/>
      <c r="D45" s="1"/>
    </row>
    <row r="46" spans="1:4" ht="13.2" x14ac:dyDescent="0.25">
      <c r="A46" s="1"/>
      <c r="B46" s="26"/>
      <c r="C46" s="27"/>
      <c r="D46" s="1"/>
    </row>
    <row r="47" spans="1:4" ht="13.2" x14ac:dyDescent="0.25">
      <c r="A47" s="1"/>
      <c r="B47" s="26"/>
      <c r="C47" s="27"/>
      <c r="D47" s="1"/>
    </row>
    <row r="48" spans="1:4" ht="13.2" x14ac:dyDescent="0.25">
      <c r="A48" s="1"/>
      <c r="B48" s="26"/>
      <c r="C48" s="27"/>
      <c r="D48" s="1"/>
    </row>
    <row r="49" spans="1:4" ht="13.2" x14ac:dyDescent="0.25">
      <c r="A49" s="1"/>
      <c r="B49" s="26"/>
      <c r="C49" s="27"/>
      <c r="D49" s="1"/>
    </row>
    <row r="50" spans="1:4" ht="13.2" x14ac:dyDescent="0.25">
      <c r="A50" s="1"/>
      <c r="B50" s="26"/>
      <c r="C50" s="27"/>
      <c r="D50" s="1"/>
    </row>
    <row r="51" spans="1:4" ht="13.2" x14ac:dyDescent="0.25">
      <c r="A51" s="1"/>
      <c r="B51" s="26"/>
      <c r="C51" s="27"/>
      <c r="D51" s="1"/>
    </row>
    <row r="52" spans="1:4" ht="13.2" x14ac:dyDescent="0.25">
      <c r="A52" s="1"/>
      <c r="B52" s="26"/>
      <c r="C52" s="27"/>
      <c r="D52" s="1"/>
    </row>
    <row r="53" spans="1:4" ht="13.2" x14ac:dyDescent="0.25">
      <c r="A53" s="1"/>
      <c r="B53" s="26"/>
      <c r="C53" s="27"/>
      <c r="D53" s="1"/>
    </row>
    <row r="54" spans="1:4" ht="13.2" x14ac:dyDescent="0.25">
      <c r="A54" s="1"/>
      <c r="B54" s="26"/>
      <c r="C54" s="27"/>
      <c r="D54" s="1"/>
    </row>
    <row r="55" spans="1:4" ht="13.2" x14ac:dyDescent="0.25">
      <c r="A55" s="1"/>
      <c r="B55" s="26"/>
      <c r="C55" s="27"/>
      <c r="D55" s="1"/>
    </row>
    <row r="56" spans="1:4" ht="13.2" x14ac:dyDescent="0.25">
      <c r="A56" s="1"/>
      <c r="B56" s="26"/>
      <c r="C56" s="27"/>
      <c r="D56" s="1"/>
    </row>
    <row r="57" spans="1:4" ht="13.2" x14ac:dyDescent="0.25">
      <c r="A57" s="1"/>
      <c r="B57" s="26"/>
      <c r="C57" s="27"/>
      <c r="D57" s="1"/>
    </row>
    <row r="58" spans="1:4" ht="13.2" x14ac:dyDescent="0.25">
      <c r="A58" s="1"/>
      <c r="B58" s="26"/>
      <c r="C58" s="27"/>
      <c r="D58" s="1"/>
    </row>
    <row r="59" spans="1:4" ht="13.2" x14ac:dyDescent="0.25">
      <c r="A59" s="1"/>
      <c r="B59" s="26"/>
      <c r="C59" s="27"/>
      <c r="D59" s="1"/>
    </row>
    <row r="60" spans="1:4" ht="13.2" x14ac:dyDescent="0.25">
      <c r="A60" s="1"/>
      <c r="B60" s="26"/>
      <c r="C60" s="27"/>
      <c r="D60" s="1"/>
    </row>
    <row r="61" spans="1:4" ht="13.2" x14ac:dyDescent="0.25">
      <c r="A61" s="1"/>
      <c r="B61" s="26"/>
      <c r="C61" s="27"/>
      <c r="D61" s="1"/>
    </row>
    <row r="62" spans="1:4" ht="13.2" x14ac:dyDescent="0.25">
      <c r="A62" s="1"/>
      <c r="B62" s="26"/>
      <c r="C62" s="27"/>
      <c r="D62" s="1"/>
    </row>
    <row r="63" spans="1:4" ht="13.2" x14ac:dyDescent="0.25">
      <c r="A63" s="1"/>
      <c r="B63" s="26"/>
      <c r="C63" s="27"/>
      <c r="D63" s="1"/>
    </row>
    <row r="64" spans="1:4" ht="13.2" x14ac:dyDescent="0.25">
      <c r="A64" s="1"/>
      <c r="B64" s="26"/>
      <c r="C64" s="27"/>
      <c r="D64" s="1"/>
    </row>
    <row r="65" spans="1:4" ht="13.2" x14ac:dyDescent="0.25">
      <c r="A65" s="1"/>
      <c r="B65" s="26"/>
      <c r="C65" s="27"/>
      <c r="D65" s="1"/>
    </row>
    <row r="66" spans="1:4" ht="13.2" x14ac:dyDescent="0.25">
      <c r="A66" s="1"/>
      <c r="B66" s="26"/>
      <c r="C66" s="27"/>
      <c r="D66" s="1"/>
    </row>
    <row r="67" spans="1:4" ht="13.2" x14ac:dyDescent="0.25">
      <c r="A67" s="1"/>
      <c r="B67" s="26"/>
      <c r="C67" s="27"/>
      <c r="D67" s="1"/>
    </row>
    <row r="68" spans="1:4" ht="13.2" x14ac:dyDescent="0.25">
      <c r="A68" s="1"/>
      <c r="B68" s="26"/>
      <c r="C68" s="27"/>
      <c r="D68" s="1"/>
    </row>
    <row r="69" spans="1:4" ht="13.2" x14ac:dyDescent="0.25">
      <c r="A69" s="1"/>
      <c r="B69" s="26"/>
      <c r="C69" s="27"/>
      <c r="D69" s="1"/>
    </row>
    <row r="70" spans="1:4" ht="13.2" x14ac:dyDescent="0.25">
      <c r="A70" s="1"/>
      <c r="B70" s="26"/>
      <c r="C70" s="27"/>
      <c r="D70" s="1"/>
    </row>
    <row r="71" spans="1:4" ht="13.2" x14ac:dyDescent="0.25">
      <c r="A71" s="1"/>
      <c r="B71" s="26"/>
      <c r="C71" s="27"/>
      <c r="D71" s="1"/>
    </row>
    <row r="72" spans="1:4" ht="13.2" x14ac:dyDescent="0.25">
      <c r="A72" s="1"/>
      <c r="B72" s="26"/>
      <c r="C72" s="27"/>
      <c r="D72" s="1"/>
    </row>
    <row r="73" spans="1:4" ht="13.2" x14ac:dyDescent="0.25">
      <c r="A73" s="1"/>
      <c r="B73" s="26"/>
      <c r="C73" s="27"/>
      <c r="D73" s="1"/>
    </row>
    <row r="74" spans="1:4" ht="13.2" x14ac:dyDescent="0.25">
      <c r="A74" s="1"/>
      <c r="B74" s="26"/>
      <c r="C74" s="27"/>
      <c r="D74" s="1"/>
    </row>
    <row r="75" spans="1:4" ht="13.2" x14ac:dyDescent="0.25">
      <c r="A75" s="1"/>
      <c r="B75" s="26"/>
      <c r="C75" s="27"/>
      <c r="D75" s="1"/>
    </row>
    <row r="76" spans="1:4" ht="13.2" x14ac:dyDescent="0.25">
      <c r="A76" s="1"/>
      <c r="B76" s="26"/>
      <c r="C76" s="27"/>
      <c r="D76" s="1"/>
    </row>
    <row r="77" spans="1:4" ht="13.2" x14ac:dyDescent="0.25">
      <c r="A77" s="1"/>
      <c r="B77" s="26"/>
      <c r="C77" s="27"/>
      <c r="D77" s="1"/>
    </row>
    <row r="78" spans="1:4" ht="13.2" x14ac:dyDescent="0.25">
      <c r="A78" s="1"/>
      <c r="B78" s="26"/>
      <c r="C78" s="27"/>
      <c r="D78" s="1"/>
    </row>
    <row r="79" spans="1:4" ht="13.2" x14ac:dyDescent="0.25">
      <c r="A79" s="1"/>
      <c r="B79" s="26"/>
      <c r="C79" s="27"/>
      <c r="D79" s="1"/>
    </row>
    <row r="80" spans="1:4" ht="13.2" x14ac:dyDescent="0.25">
      <c r="A80" s="1"/>
      <c r="B80" s="26"/>
      <c r="C80" s="27"/>
      <c r="D80" s="1"/>
    </row>
    <row r="81" spans="1:4" ht="13.2" x14ac:dyDescent="0.25">
      <c r="A81" s="1"/>
      <c r="B81" s="26"/>
      <c r="C81" s="27"/>
      <c r="D81" s="1"/>
    </row>
    <row r="82" spans="1:4" ht="13.2" x14ac:dyDescent="0.25">
      <c r="A82" s="1"/>
      <c r="B82" s="26"/>
      <c r="C82" s="27"/>
      <c r="D82" s="1"/>
    </row>
    <row r="83" spans="1:4" ht="13.2" x14ac:dyDescent="0.25">
      <c r="A83" s="1"/>
      <c r="B83" s="26"/>
      <c r="C83" s="27"/>
      <c r="D83" s="1"/>
    </row>
    <row r="84" spans="1:4" ht="13.2" x14ac:dyDescent="0.25">
      <c r="A84" s="1"/>
      <c r="B84" s="26"/>
      <c r="C84" s="27"/>
      <c r="D84" s="1"/>
    </row>
    <row r="85" spans="1:4" ht="13.2" x14ac:dyDescent="0.25">
      <c r="A85" s="1"/>
      <c r="B85" s="26"/>
      <c r="C85" s="27"/>
      <c r="D85" s="1"/>
    </row>
    <row r="86" spans="1:4" ht="13.2" x14ac:dyDescent="0.25">
      <c r="A86" s="1"/>
      <c r="B86" s="26"/>
      <c r="C86" s="27"/>
      <c r="D86" s="1"/>
    </row>
    <row r="87" spans="1:4" ht="13.2" x14ac:dyDescent="0.25">
      <c r="A87" s="1"/>
      <c r="B87" s="26"/>
      <c r="C87" s="27"/>
      <c r="D87" s="1"/>
    </row>
    <row r="88" spans="1:4" ht="13.2" x14ac:dyDescent="0.25">
      <c r="A88" s="1"/>
      <c r="B88" s="26"/>
      <c r="C88" s="27"/>
      <c r="D88" s="1"/>
    </row>
    <row r="89" spans="1:4" ht="13.2" x14ac:dyDescent="0.25">
      <c r="A89" s="1"/>
      <c r="B89" s="26"/>
      <c r="C89" s="27"/>
      <c r="D89" s="1"/>
    </row>
    <row r="90" spans="1:4" ht="13.2" x14ac:dyDescent="0.25">
      <c r="A90" s="1"/>
      <c r="B90" s="26"/>
      <c r="C90" s="27"/>
      <c r="D90" s="1"/>
    </row>
    <row r="91" spans="1:4" ht="13.2" x14ac:dyDescent="0.25">
      <c r="A91" s="1"/>
      <c r="B91" s="26"/>
      <c r="C91" s="27"/>
      <c r="D91" s="1"/>
    </row>
    <row r="92" spans="1:4" ht="13.2" x14ac:dyDescent="0.25">
      <c r="A92" s="1"/>
      <c r="B92" s="26"/>
      <c r="C92" s="27"/>
      <c r="D92" s="1"/>
    </row>
    <row r="93" spans="1:4" ht="13.2" x14ac:dyDescent="0.25">
      <c r="A93" s="1"/>
      <c r="B93" s="26"/>
      <c r="C93" s="27"/>
      <c r="D93" s="1"/>
    </row>
    <row r="94" spans="1:4" ht="13.2" x14ac:dyDescent="0.25">
      <c r="A94" s="1"/>
      <c r="B94" s="26"/>
      <c r="C94" s="27"/>
      <c r="D94" s="1"/>
    </row>
    <row r="95" spans="1:4" ht="13.2" x14ac:dyDescent="0.25">
      <c r="A95" s="1"/>
      <c r="B95" s="26"/>
      <c r="C95" s="27"/>
      <c r="D95" s="1"/>
    </row>
    <row r="96" spans="1:4" ht="13.2" x14ac:dyDescent="0.25">
      <c r="A96" s="1"/>
      <c r="B96" s="26"/>
      <c r="C96" s="27"/>
      <c r="D96" s="1"/>
    </row>
    <row r="97" spans="1:4" ht="13.2" x14ac:dyDescent="0.25">
      <c r="A97" s="1"/>
      <c r="B97" s="26"/>
      <c r="C97" s="27"/>
      <c r="D97" s="1"/>
    </row>
    <row r="98" spans="1:4" ht="13.2" x14ac:dyDescent="0.25">
      <c r="A98" s="1"/>
      <c r="B98" s="26"/>
      <c r="C98" s="27"/>
      <c r="D98" s="1"/>
    </row>
    <row r="99" spans="1:4" ht="13.2" x14ac:dyDescent="0.25">
      <c r="A99" s="1"/>
      <c r="B99" s="26"/>
      <c r="C99" s="27"/>
      <c r="D99" s="1"/>
    </row>
    <row r="100" spans="1:4" ht="13.2" x14ac:dyDescent="0.25">
      <c r="A100" s="1"/>
      <c r="B100" s="26"/>
      <c r="C100" s="27"/>
      <c r="D100" s="1"/>
    </row>
    <row r="101" spans="1:4" ht="13.2" x14ac:dyDescent="0.25">
      <c r="A101" s="1"/>
      <c r="B101" s="26"/>
      <c r="C101" s="27"/>
      <c r="D101" s="1"/>
    </row>
    <row r="102" spans="1:4" ht="13.2" x14ac:dyDescent="0.25">
      <c r="A102" s="1"/>
      <c r="B102" s="26"/>
      <c r="C102" s="27"/>
      <c r="D102" s="1"/>
    </row>
    <row r="103" spans="1:4" ht="13.2" x14ac:dyDescent="0.25">
      <c r="A103" s="1"/>
      <c r="B103" s="26"/>
      <c r="C103" s="27"/>
      <c r="D103" s="1"/>
    </row>
    <row r="104" spans="1:4" ht="13.2" x14ac:dyDescent="0.25">
      <c r="A104" s="1"/>
      <c r="B104" s="26"/>
      <c r="C104" s="27"/>
      <c r="D104" s="1"/>
    </row>
    <row r="105" spans="1:4" ht="13.2" x14ac:dyDescent="0.25">
      <c r="A105" s="1"/>
      <c r="B105" s="26"/>
      <c r="C105" s="27"/>
      <c r="D105" s="1"/>
    </row>
    <row r="106" spans="1:4" ht="13.2" x14ac:dyDescent="0.25">
      <c r="A106" s="1"/>
      <c r="B106" s="26"/>
      <c r="C106" s="27"/>
      <c r="D106" s="1"/>
    </row>
    <row r="107" spans="1:4" ht="13.2" x14ac:dyDescent="0.25">
      <c r="A107" s="1"/>
      <c r="B107" s="26"/>
      <c r="C107" s="27"/>
      <c r="D107" s="1"/>
    </row>
    <row r="108" spans="1:4" ht="13.2" x14ac:dyDescent="0.25">
      <c r="A108" s="1"/>
      <c r="B108" s="26"/>
      <c r="C108" s="27"/>
      <c r="D108" s="1"/>
    </row>
    <row r="109" spans="1:4" ht="13.2" x14ac:dyDescent="0.25">
      <c r="A109" s="1"/>
      <c r="B109" s="26"/>
      <c r="C109" s="27"/>
      <c r="D109" s="1"/>
    </row>
    <row r="110" spans="1:4" ht="13.2" x14ac:dyDescent="0.25">
      <c r="A110" s="1"/>
      <c r="B110" s="26"/>
      <c r="C110" s="27"/>
      <c r="D110" s="1"/>
    </row>
    <row r="111" spans="1:4" ht="13.2" x14ac:dyDescent="0.25">
      <c r="A111" s="1"/>
      <c r="B111" s="26"/>
      <c r="C111" s="27"/>
      <c r="D111" s="1"/>
    </row>
    <row r="112" spans="1:4" ht="13.2" x14ac:dyDescent="0.25">
      <c r="A112" s="1"/>
      <c r="B112" s="26"/>
      <c r="C112" s="27"/>
      <c r="D112" s="1"/>
    </row>
    <row r="113" spans="1:4" ht="13.2" x14ac:dyDescent="0.25">
      <c r="A113" s="1"/>
      <c r="B113" s="26"/>
      <c r="C113" s="27"/>
      <c r="D113" s="1"/>
    </row>
    <row r="114" spans="1:4" ht="13.2" x14ac:dyDescent="0.25">
      <c r="A114" s="1"/>
      <c r="B114" s="26"/>
      <c r="C114" s="27"/>
      <c r="D114" s="1"/>
    </row>
    <row r="115" spans="1:4" ht="13.2" x14ac:dyDescent="0.25">
      <c r="A115" s="1"/>
      <c r="B115" s="26"/>
      <c r="C115" s="27"/>
      <c r="D115" s="1"/>
    </row>
    <row r="116" spans="1:4" ht="13.2" x14ac:dyDescent="0.25">
      <c r="A116" s="1"/>
      <c r="B116" s="26"/>
      <c r="C116" s="27"/>
      <c r="D116" s="1"/>
    </row>
    <row r="117" spans="1:4" ht="13.2" x14ac:dyDescent="0.25">
      <c r="A117" s="1"/>
      <c r="B117" s="26"/>
      <c r="C117" s="27"/>
      <c r="D117" s="1"/>
    </row>
    <row r="118" spans="1:4" ht="13.2" x14ac:dyDescent="0.25">
      <c r="A118" s="1"/>
      <c r="B118" s="26"/>
      <c r="C118" s="27"/>
      <c r="D118" s="1"/>
    </row>
    <row r="119" spans="1:4" ht="13.2" x14ac:dyDescent="0.25">
      <c r="A119" s="1"/>
      <c r="B119" s="26"/>
      <c r="C119" s="27"/>
      <c r="D119" s="1"/>
    </row>
    <row r="120" spans="1:4" ht="13.2" x14ac:dyDescent="0.25">
      <c r="A120" s="1"/>
      <c r="B120" s="26"/>
      <c r="C120" s="27"/>
      <c r="D120" s="1"/>
    </row>
    <row r="121" spans="1:4" ht="13.2" x14ac:dyDescent="0.25">
      <c r="A121" s="1"/>
      <c r="B121" s="26"/>
      <c r="C121" s="27"/>
      <c r="D121" s="1"/>
    </row>
    <row r="122" spans="1:4" ht="13.2" x14ac:dyDescent="0.25">
      <c r="A122" s="1"/>
      <c r="B122" s="26"/>
      <c r="C122" s="27"/>
      <c r="D122" s="1"/>
    </row>
    <row r="123" spans="1:4" ht="13.2" x14ac:dyDescent="0.25">
      <c r="A123" s="1"/>
      <c r="B123" s="26"/>
      <c r="C123" s="27"/>
      <c r="D123" s="1"/>
    </row>
    <row r="124" spans="1:4" ht="13.2" x14ac:dyDescent="0.25">
      <c r="A124" s="1"/>
      <c r="B124" s="26"/>
      <c r="C124" s="27"/>
      <c r="D124" s="1"/>
    </row>
    <row r="125" spans="1:4" ht="13.2" x14ac:dyDescent="0.25">
      <c r="A125" s="1"/>
      <c r="B125" s="26"/>
      <c r="C125" s="27"/>
      <c r="D125" s="1"/>
    </row>
    <row r="126" spans="1:4" ht="13.2" x14ac:dyDescent="0.25">
      <c r="A126" s="1"/>
      <c r="B126" s="26"/>
      <c r="C126" s="27"/>
      <c r="D126" s="1"/>
    </row>
    <row r="127" spans="1:4" ht="13.2" x14ac:dyDescent="0.25">
      <c r="A127" s="1"/>
      <c r="B127" s="26"/>
      <c r="C127" s="27"/>
      <c r="D127" s="1"/>
    </row>
    <row r="128" spans="1:4" ht="13.2" x14ac:dyDescent="0.25">
      <c r="A128" s="1"/>
      <c r="B128" s="26"/>
      <c r="C128" s="27"/>
      <c r="D128" s="1"/>
    </row>
    <row r="129" spans="1:4" ht="13.2" x14ac:dyDescent="0.25">
      <c r="A129" s="1"/>
      <c r="B129" s="26"/>
      <c r="C129" s="27"/>
      <c r="D129" s="1"/>
    </row>
    <row r="130" spans="1:4" ht="13.2" x14ac:dyDescent="0.25">
      <c r="A130" s="1"/>
      <c r="B130" s="26"/>
      <c r="C130" s="27"/>
      <c r="D130" s="1"/>
    </row>
    <row r="131" spans="1:4" ht="13.2" x14ac:dyDescent="0.25">
      <c r="A131" s="1"/>
      <c r="B131" s="26"/>
      <c r="C131" s="27"/>
      <c r="D131" s="1"/>
    </row>
    <row r="132" spans="1:4" ht="13.2" x14ac:dyDescent="0.25">
      <c r="A132" s="1"/>
      <c r="B132" s="26"/>
      <c r="C132" s="27"/>
      <c r="D132" s="1"/>
    </row>
    <row r="133" spans="1:4" ht="13.2" x14ac:dyDescent="0.25">
      <c r="A133" s="1"/>
      <c r="B133" s="26"/>
      <c r="C133" s="27"/>
      <c r="D133" s="1"/>
    </row>
    <row r="134" spans="1:4" ht="13.2" x14ac:dyDescent="0.25">
      <c r="A134" s="1"/>
      <c r="B134" s="26"/>
      <c r="C134" s="27"/>
      <c r="D134" s="1"/>
    </row>
    <row r="135" spans="1:4" ht="13.2" x14ac:dyDescent="0.25">
      <c r="A135" s="1"/>
      <c r="B135" s="26"/>
      <c r="C135" s="27"/>
      <c r="D135" s="1"/>
    </row>
    <row r="136" spans="1:4" ht="13.2" x14ac:dyDescent="0.25">
      <c r="A136" s="1"/>
      <c r="B136" s="26"/>
      <c r="C136" s="27"/>
      <c r="D136" s="1"/>
    </row>
    <row r="137" spans="1:4" ht="13.2" x14ac:dyDescent="0.25">
      <c r="A137" s="1"/>
      <c r="B137" s="26"/>
      <c r="C137" s="27"/>
      <c r="D137" s="1"/>
    </row>
    <row r="138" spans="1:4" ht="13.2" x14ac:dyDescent="0.25">
      <c r="A138" s="1"/>
      <c r="B138" s="26"/>
      <c r="C138" s="27"/>
      <c r="D138" s="1"/>
    </row>
    <row r="139" spans="1:4" ht="13.2" x14ac:dyDescent="0.25">
      <c r="A139" s="1"/>
      <c r="B139" s="26"/>
      <c r="C139" s="27"/>
      <c r="D139" s="1"/>
    </row>
    <row r="140" spans="1:4" ht="13.2" x14ac:dyDescent="0.25">
      <c r="A140" s="1"/>
      <c r="B140" s="26"/>
      <c r="C140" s="27"/>
      <c r="D140" s="1"/>
    </row>
    <row r="141" spans="1:4" ht="13.2" x14ac:dyDescent="0.25">
      <c r="A141" s="1"/>
      <c r="B141" s="26"/>
      <c r="C141" s="27"/>
      <c r="D141" s="1"/>
    </row>
    <row r="142" spans="1:4" ht="13.2" x14ac:dyDescent="0.25">
      <c r="A142" s="1"/>
      <c r="B142" s="26"/>
      <c r="C142" s="27"/>
      <c r="D142" s="1"/>
    </row>
    <row r="143" spans="1:4" ht="13.2" x14ac:dyDescent="0.25">
      <c r="A143" s="1"/>
      <c r="B143" s="26"/>
      <c r="C143" s="27"/>
      <c r="D143" s="1"/>
    </row>
    <row r="144" spans="1:4" ht="13.2" x14ac:dyDescent="0.25">
      <c r="A144" s="1"/>
      <c r="B144" s="26"/>
      <c r="C144" s="27"/>
      <c r="D144" s="1"/>
    </row>
    <row r="145" spans="1:4" ht="13.2" x14ac:dyDescent="0.25">
      <c r="A145" s="1"/>
      <c r="B145" s="26"/>
      <c r="C145" s="27"/>
      <c r="D145" s="1"/>
    </row>
    <row r="146" spans="1:4" ht="13.2" x14ac:dyDescent="0.25">
      <c r="A146" s="1"/>
      <c r="B146" s="26"/>
      <c r="C146" s="27"/>
      <c r="D146" s="1"/>
    </row>
    <row r="147" spans="1:4" ht="13.2" x14ac:dyDescent="0.25">
      <c r="A147" s="1"/>
      <c r="B147" s="26"/>
      <c r="C147" s="27"/>
      <c r="D147" s="1"/>
    </row>
    <row r="148" spans="1:4" ht="13.2" x14ac:dyDescent="0.25">
      <c r="A148" s="1"/>
      <c r="B148" s="26"/>
      <c r="C148" s="27"/>
      <c r="D148" s="1"/>
    </row>
    <row r="149" spans="1:4" ht="13.2" x14ac:dyDescent="0.25">
      <c r="A149" s="1"/>
      <c r="B149" s="26"/>
      <c r="C149" s="27"/>
      <c r="D149" s="1"/>
    </row>
    <row r="150" spans="1:4" ht="13.2" x14ac:dyDescent="0.25">
      <c r="A150" s="1"/>
      <c r="B150" s="26"/>
      <c r="C150" s="27"/>
      <c r="D150" s="1"/>
    </row>
    <row r="151" spans="1:4" ht="13.2" x14ac:dyDescent="0.25">
      <c r="A151" s="1"/>
      <c r="B151" s="26"/>
      <c r="C151" s="27"/>
      <c r="D151" s="1"/>
    </row>
    <row r="152" spans="1:4" ht="13.2" x14ac:dyDescent="0.25">
      <c r="A152" s="1"/>
      <c r="B152" s="26"/>
      <c r="C152" s="27"/>
      <c r="D152" s="1"/>
    </row>
    <row r="153" spans="1:4" ht="13.2" x14ac:dyDescent="0.25">
      <c r="A153" s="1"/>
      <c r="B153" s="26"/>
      <c r="C153" s="27"/>
      <c r="D153" s="1"/>
    </row>
    <row r="154" spans="1:4" ht="13.2" x14ac:dyDescent="0.25">
      <c r="A154" s="1"/>
      <c r="B154" s="26"/>
      <c r="C154" s="27"/>
      <c r="D154" s="1"/>
    </row>
    <row r="155" spans="1:4" ht="13.2" x14ac:dyDescent="0.25">
      <c r="A155" s="1"/>
      <c r="B155" s="26"/>
      <c r="C155" s="27"/>
      <c r="D155" s="1"/>
    </row>
    <row r="156" spans="1:4" ht="13.2" x14ac:dyDescent="0.25">
      <c r="A156" s="1"/>
      <c r="B156" s="26"/>
      <c r="C156" s="27"/>
      <c r="D156" s="1"/>
    </row>
    <row r="157" spans="1:4" ht="13.2" x14ac:dyDescent="0.25">
      <c r="A157" s="1"/>
      <c r="B157" s="26"/>
      <c r="C157" s="27"/>
      <c r="D157" s="1"/>
    </row>
    <row r="158" spans="1:4" ht="13.2" x14ac:dyDescent="0.25">
      <c r="A158" s="1"/>
      <c r="B158" s="26"/>
      <c r="C158" s="27"/>
      <c r="D158" s="1"/>
    </row>
    <row r="159" spans="1:4" ht="13.2" x14ac:dyDescent="0.25">
      <c r="A159" s="1"/>
      <c r="B159" s="26"/>
      <c r="C159" s="27"/>
      <c r="D159" s="1"/>
    </row>
    <row r="160" spans="1:4" ht="13.2" x14ac:dyDescent="0.25">
      <c r="A160" s="1"/>
      <c r="B160" s="26"/>
      <c r="C160" s="27"/>
      <c r="D160" s="1"/>
    </row>
    <row r="161" spans="1:4" ht="13.2" x14ac:dyDescent="0.25">
      <c r="A161" s="1"/>
      <c r="B161" s="26"/>
      <c r="C161" s="27"/>
      <c r="D161" s="1"/>
    </row>
    <row r="162" spans="1:4" ht="13.2" x14ac:dyDescent="0.25">
      <c r="A162" s="1"/>
      <c r="B162" s="26"/>
      <c r="C162" s="27"/>
      <c r="D162" s="1"/>
    </row>
    <row r="163" spans="1:4" ht="13.2" x14ac:dyDescent="0.25">
      <c r="A163" s="1"/>
      <c r="B163" s="26"/>
      <c r="C163" s="27"/>
      <c r="D163" s="1"/>
    </row>
    <row r="164" spans="1:4" ht="13.2" x14ac:dyDescent="0.25">
      <c r="A164" s="1"/>
      <c r="B164" s="26"/>
      <c r="C164" s="27"/>
      <c r="D164" s="1"/>
    </row>
    <row r="165" spans="1:4" ht="13.2" x14ac:dyDescent="0.25">
      <c r="A165" s="1"/>
      <c r="B165" s="26"/>
      <c r="C165" s="27"/>
      <c r="D165" s="1"/>
    </row>
    <row r="166" spans="1:4" ht="13.2" x14ac:dyDescent="0.25">
      <c r="A166" s="1"/>
      <c r="B166" s="26"/>
      <c r="C166" s="27"/>
      <c r="D166" s="1"/>
    </row>
    <row r="167" spans="1:4" ht="13.2" x14ac:dyDescent="0.25">
      <c r="A167" s="1"/>
      <c r="B167" s="26"/>
      <c r="C167" s="27"/>
      <c r="D167" s="1"/>
    </row>
    <row r="168" spans="1:4" ht="13.2" x14ac:dyDescent="0.25">
      <c r="A168" s="1"/>
      <c r="B168" s="26"/>
      <c r="C168" s="27"/>
      <c r="D168" s="1"/>
    </row>
    <row r="169" spans="1:4" ht="13.2" x14ac:dyDescent="0.25">
      <c r="A169" s="1"/>
      <c r="B169" s="26"/>
      <c r="C169" s="27"/>
      <c r="D169" s="1"/>
    </row>
    <row r="170" spans="1:4" ht="13.2" x14ac:dyDescent="0.25">
      <c r="A170" s="1"/>
      <c r="B170" s="26"/>
      <c r="C170" s="27"/>
      <c r="D170" s="1"/>
    </row>
    <row r="171" spans="1:4" ht="13.2" x14ac:dyDescent="0.25">
      <c r="A171" s="1"/>
      <c r="B171" s="26"/>
      <c r="C171" s="27"/>
      <c r="D171" s="1"/>
    </row>
    <row r="172" spans="1:4" ht="13.2" x14ac:dyDescent="0.25">
      <c r="A172" s="1"/>
      <c r="B172" s="26"/>
      <c r="C172" s="27"/>
      <c r="D172" s="1"/>
    </row>
    <row r="173" spans="1:4" ht="13.2" x14ac:dyDescent="0.25">
      <c r="A173" s="1"/>
      <c r="B173" s="26"/>
      <c r="C173" s="27"/>
      <c r="D173" s="1"/>
    </row>
    <row r="174" spans="1:4" ht="13.2" x14ac:dyDescent="0.25">
      <c r="A174" s="1"/>
      <c r="B174" s="26"/>
      <c r="C174" s="27"/>
      <c r="D174" s="1"/>
    </row>
    <row r="175" spans="1:4" ht="13.2" x14ac:dyDescent="0.25">
      <c r="A175" s="1"/>
      <c r="B175" s="26"/>
      <c r="C175" s="27"/>
      <c r="D175" s="1"/>
    </row>
    <row r="176" spans="1:4" ht="13.2" x14ac:dyDescent="0.25">
      <c r="A176" s="1"/>
      <c r="B176" s="26"/>
      <c r="C176" s="27"/>
      <c r="D176" s="1"/>
    </row>
    <row r="177" spans="1:4" ht="13.2" x14ac:dyDescent="0.25">
      <c r="A177" s="1"/>
      <c r="B177" s="26"/>
      <c r="C177" s="27"/>
      <c r="D177" s="1"/>
    </row>
    <row r="178" spans="1:4" ht="13.2" x14ac:dyDescent="0.25">
      <c r="A178" s="1"/>
      <c r="B178" s="26"/>
      <c r="C178" s="27"/>
      <c r="D178" s="1"/>
    </row>
    <row r="179" spans="1:4" ht="13.2" x14ac:dyDescent="0.25">
      <c r="A179" s="1"/>
      <c r="B179" s="26"/>
      <c r="C179" s="27"/>
      <c r="D179" s="1"/>
    </row>
    <row r="180" spans="1:4" ht="13.2" x14ac:dyDescent="0.25">
      <c r="A180" s="1"/>
      <c r="B180" s="26"/>
      <c r="C180" s="27"/>
      <c r="D180" s="1"/>
    </row>
    <row r="181" spans="1:4" ht="13.2" x14ac:dyDescent="0.25">
      <c r="A181" s="1"/>
      <c r="B181" s="26"/>
      <c r="C181" s="27"/>
      <c r="D181" s="1"/>
    </row>
    <row r="182" spans="1:4" ht="13.2" x14ac:dyDescent="0.25">
      <c r="A182" s="1"/>
      <c r="B182" s="26"/>
      <c r="C182" s="27"/>
      <c r="D182" s="1"/>
    </row>
    <row r="183" spans="1:4" ht="13.2" x14ac:dyDescent="0.25">
      <c r="A183" s="1"/>
      <c r="B183" s="26"/>
      <c r="C183" s="27"/>
      <c r="D183" s="1"/>
    </row>
    <row r="184" spans="1:4" ht="13.2" x14ac:dyDescent="0.25">
      <c r="A184" s="1"/>
      <c r="B184" s="26"/>
      <c r="C184" s="27"/>
      <c r="D184" s="1"/>
    </row>
    <row r="185" spans="1:4" ht="13.2" x14ac:dyDescent="0.25">
      <c r="A185" s="1"/>
      <c r="B185" s="26"/>
      <c r="C185" s="27"/>
      <c r="D185" s="1"/>
    </row>
    <row r="186" spans="1:4" ht="13.2" x14ac:dyDescent="0.25">
      <c r="A186" s="1"/>
      <c r="B186" s="26"/>
      <c r="C186" s="27"/>
      <c r="D186" s="1"/>
    </row>
    <row r="187" spans="1:4" ht="13.2" x14ac:dyDescent="0.25">
      <c r="A187" s="1"/>
      <c r="B187" s="26"/>
      <c r="C187" s="27"/>
      <c r="D187" s="1"/>
    </row>
    <row r="188" spans="1:4" ht="13.2" x14ac:dyDescent="0.25">
      <c r="A188" s="1"/>
      <c r="B188" s="26"/>
      <c r="C188" s="27"/>
      <c r="D188" s="1"/>
    </row>
    <row r="189" spans="1:4" ht="13.2" x14ac:dyDescent="0.25">
      <c r="A189" s="1"/>
      <c r="B189" s="26"/>
      <c r="C189" s="27"/>
      <c r="D189" s="1"/>
    </row>
    <row r="190" spans="1:4" ht="13.2" x14ac:dyDescent="0.25">
      <c r="A190" s="1"/>
      <c r="B190" s="26"/>
      <c r="C190" s="27"/>
      <c r="D190" s="1"/>
    </row>
    <row r="191" spans="1:4" ht="13.2" x14ac:dyDescent="0.25">
      <c r="A191" s="1"/>
      <c r="B191" s="26"/>
      <c r="C191" s="27"/>
      <c r="D191" s="1"/>
    </row>
    <row r="192" spans="1:4" ht="13.2" x14ac:dyDescent="0.25">
      <c r="A192" s="1"/>
      <c r="B192" s="26"/>
      <c r="C192" s="27"/>
      <c r="D192" s="1"/>
    </row>
    <row r="193" spans="1:4" ht="13.2" x14ac:dyDescent="0.25">
      <c r="A193" s="1"/>
      <c r="B193" s="26"/>
      <c r="C193" s="27"/>
      <c r="D193" s="1"/>
    </row>
    <row r="194" spans="1:4" ht="13.2" x14ac:dyDescent="0.25">
      <c r="A194" s="1"/>
      <c r="B194" s="26"/>
      <c r="C194" s="27"/>
      <c r="D194" s="1"/>
    </row>
    <row r="195" spans="1:4" ht="13.2" x14ac:dyDescent="0.25">
      <c r="A195" s="1"/>
      <c r="B195" s="26"/>
      <c r="C195" s="27"/>
      <c r="D195" s="1"/>
    </row>
    <row r="196" spans="1:4" ht="13.2" x14ac:dyDescent="0.25">
      <c r="A196" s="1"/>
      <c r="B196" s="26"/>
      <c r="C196" s="27"/>
      <c r="D196" s="1"/>
    </row>
    <row r="197" spans="1:4" ht="13.2" x14ac:dyDescent="0.25">
      <c r="A197" s="1"/>
      <c r="B197" s="26"/>
      <c r="C197" s="27"/>
      <c r="D197" s="1"/>
    </row>
    <row r="198" spans="1:4" ht="13.2" x14ac:dyDescent="0.25">
      <c r="A198" s="1"/>
      <c r="B198" s="26"/>
      <c r="C198" s="27"/>
      <c r="D198" s="1"/>
    </row>
    <row r="199" spans="1:4" ht="13.2" x14ac:dyDescent="0.25">
      <c r="A199" s="1"/>
      <c r="B199" s="26"/>
      <c r="C199" s="27"/>
      <c r="D199" s="1"/>
    </row>
    <row r="200" spans="1:4" ht="13.2" x14ac:dyDescent="0.25">
      <c r="A200" s="1"/>
      <c r="B200" s="26"/>
      <c r="C200" s="27"/>
      <c r="D200" s="1"/>
    </row>
    <row r="201" spans="1:4" ht="13.2" x14ac:dyDescent="0.25">
      <c r="A201" s="1"/>
      <c r="B201" s="26"/>
      <c r="C201" s="27"/>
      <c r="D201" s="1"/>
    </row>
    <row r="202" spans="1:4" ht="13.2" x14ac:dyDescent="0.25">
      <c r="A202" s="1"/>
      <c r="B202" s="26"/>
      <c r="C202" s="27"/>
      <c r="D202" s="1"/>
    </row>
    <row r="203" spans="1:4" ht="13.2" x14ac:dyDescent="0.25">
      <c r="A203" s="1"/>
      <c r="B203" s="26"/>
      <c r="C203" s="27"/>
      <c r="D203" s="1"/>
    </row>
    <row r="204" spans="1:4" ht="13.2" x14ac:dyDescent="0.25">
      <c r="A204" s="1"/>
      <c r="B204" s="26"/>
      <c r="C204" s="27"/>
      <c r="D204" s="1"/>
    </row>
    <row r="205" spans="1:4" ht="13.8" x14ac:dyDescent="0.25">
      <c r="A205" s="1"/>
      <c r="B205" s="1"/>
      <c r="C205" s="23"/>
      <c r="D205" s="1"/>
    </row>
    <row r="206" spans="1:4" ht="13.2" x14ac:dyDescent="0.25">
      <c r="A206" s="1"/>
      <c r="B206" s="1"/>
      <c r="C206" s="1"/>
      <c r="D206" s="1"/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Calculadora</vt:lpstr>
      <vt:lpstr>Ingredientes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Fadmi Gallardo</dc:creator>
  <cp:lastModifiedBy>gabriela gallardo</cp:lastModifiedBy>
  <dcterms:created xsi:type="dcterms:W3CDTF">2026-02-19T20:25:02Z</dcterms:created>
  <dcterms:modified xsi:type="dcterms:W3CDTF">2026-02-22T04:00:56Z</dcterms:modified>
</cp:coreProperties>
</file>